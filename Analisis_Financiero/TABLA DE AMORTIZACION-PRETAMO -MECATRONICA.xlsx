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mestre\Cursando\Analisis_Financiero\"/>
    </mc:Choice>
  </mc:AlternateContent>
  <xr:revisionPtr revIDLastSave="0" documentId="13_ncr:1_{6ACBAB67-C99C-4B49-8BEF-A092C62D453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2" i="1" s="1"/>
  <c r="D5" i="1"/>
  <c r="D7" i="1" s="1"/>
  <c r="B76" i="1" l="1"/>
  <c r="B79" i="1"/>
  <c r="B83" i="1"/>
  <c r="B75" i="1"/>
  <c r="B80" i="1"/>
  <c r="B84" i="1"/>
  <c r="B72" i="1"/>
  <c r="B81" i="1"/>
  <c r="B74" i="1"/>
  <c r="B82" i="1"/>
  <c r="B73" i="1"/>
  <c r="B77" i="1"/>
  <c r="B78" i="1"/>
  <c r="B14" i="1"/>
  <c r="B12" i="1"/>
  <c r="C12" i="1" s="1"/>
  <c r="B69" i="1"/>
  <c r="B65" i="1"/>
  <c r="B61" i="1"/>
  <c r="B57" i="1"/>
  <c r="B53" i="1"/>
  <c r="B49" i="1"/>
  <c r="B45" i="1"/>
  <c r="B41" i="1"/>
  <c r="B37" i="1"/>
  <c r="B33" i="1"/>
  <c r="B29" i="1"/>
  <c r="B25" i="1"/>
  <c r="B21" i="1"/>
  <c r="B17" i="1"/>
  <c r="B13" i="1"/>
  <c r="B68" i="1"/>
  <c r="B64" i="1"/>
  <c r="B60" i="1"/>
  <c r="B56" i="1"/>
  <c r="B52" i="1"/>
  <c r="B48" i="1"/>
  <c r="B44" i="1"/>
  <c r="B40" i="1"/>
  <c r="B36" i="1"/>
  <c r="B32" i="1"/>
  <c r="B28" i="1"/>
  <c r="B24" i="1"/>
  <c r="B20" i="1"/>
  <c r="B16" i="1"/>
  <c r="B71" i="1"/>
  <c r="B67" i="1"/>
  <c r="B63" i="1"/>
  <c r="B59" i="1"/>
  <c r="B55" i="1"/>
  <c r="B51" i="1"/>
  <c r="B47" i="1"/>
  <c r="B43" i="1"/>
  <c r="B39" i="1"/>
  <c r="B35" i="1"/>
  <c r="B31" i="1"/>
  <c r="B27" i="1"/>
  <c r="B23" i="1"/>
  <c r="B19" i="1"/>
  <c r="B15" i="1"/>
  <c r="B70" i="1"/>
  <c r="B66" i="1"/>
  <c r="B62" i="1"/>
  <c r="B58" i="1"/>
  <c r="B54" i="1"/>
  <c r="B50" i="1"/>
  <c r="B46" i="1"/>
  <c r="B42" i="1"/>
  <c r="B38" i="1"/>
  <c r="B34" i="1"/>
  <c r="B30" i="1"/>
  <c r="B26" i="1"/>
  <c r="B22" i="1"/>
  <c r="B18" i="1"/>
  <c r="E12" i="1" l="1"/>
  <c r="D13" i="1" s="1"/>
  <c r="F47" i="1"/>
  <c r="C13" i="1"/>
  <c r="E13" i="1" s="1"/>
  <c r="D14" i="1" s="1"/>
  <c r="C14" i="1" s="1"/>
  <c r="E14" i="1" s="1"/>
  <c r="D15" i="1" s="1"/>
  <c r="C15" i="1" s="1"/>
  <c r="E15" i="1" s="1"/>
  <c r="D16" i="1" l="1"/>
  <c r="C16" i="1" s="1"/>
  <c r="E16" i="1" s="1"/>
  <c r="D17" i="1" l="1"/>
  <c r="C17" i="1" s="1"/>
  <c r="E17" i="1" s="1"/>
  <c r="D18" i="1" l="1"/>
  <c r="C18" i="1" l="1"/>
  <c r="E18" i="1" l="1"/>
  <c r="D19" i="1" s="1"/>
  <c r="C19" i="1" l="1"/>
  <c r="E19" i="1" s="1"/>
  <c r="D20" i="1" s="1"/>
  <c r="C20" i="1" s="1"/>
  <c r="E20" i="1" s="1"/>
  <c r="D21" i="1" s="1"/>
  <c r="C21" i="1" s="1"/>
  <c r="E21" i="1" s="1"/>
  <c r="D22" i="1" l="1"/>
  <c r="C22" i="1" s="1"/>
  <c r="E22" i="1" s="1"/>
  <c r="D23" i="1" l="1"/>
  <c r="C23" i="1" s="1"/>
  <c r="E23" i="1" s="1"/>
  <c r="D24" i="1" l="1"/>
  <c r="C24" i="1" s="1"/>
  <c r="E24" i="1" s="1"/>
  <c r="D25" i="1" l="1"/>
  <c r="C25" i="1" s="1"/>
  <c r="E25" i="1" s="1"/>
  <c r="D26" i="1" l="1"/>
  <c r="C26" i="1" s="1"/>
  <c r="E26" i="1" s="1"/>
  <c r="D27" i="1" l="1"/>
  <c r="C27" i="1" s="1"/>
  <c r="E27" i="1" s="1"/>
  <c r="D28" i="1" l="1"/>
  <c r="C28" i="1" s="1"/>
  <c r="E28" i="1" s="1"/>
  <c r="D29" i="1" l="1"/>
  <c r="C29" i="1" s="1"/>
  <c r="E29" i="1" s="1"/>
  <c r="D30" i="1" l="1"/>
  <c r="C30" i="1" s="1"/>
  <c r="E30" i="1" s="1"/>
  <c r="D31" i="1" l="1"/>
  <c r="C31" i="1" s="1"/>
  <c r="E31" i="1" s="1"/>
  <c r="D32" i="1" l="1"/>
  <c r="C32" i="1" s="1"/>
  <c r="E32" i="1" s="1"/>
  <c r="D33" i="1" l="1"/>
  <c r="C33" i="1" s="1"/>
  <c r="E33" i="1" s="1"/>
  <c r="D34" i="1" l="1"/>
  <c r="C34" i="1" s="1"/>
  <c r="E34" i="1" s="1"/>
  <c r="D35" i="1" l="1"/>
  <c r="C35" i="1" s="1"/>
  <c r="E35" i="1" s="1"/>
  <c r="D36" i="1" l="1"/>
  <c r="C36" i="1" s="1"/>
  <c r="E36" i="1" s="1"/>
  <c r="D37" i="1" l="1"/>
  <c r="C37" i="1" s="1"/>
  <c r="E37" i="1" s="1"/>
  <c r="D38" i="1" l="1"/>
  <c r="C38" i="1" s="1"/>
  <c r="E38" i="1" s="1"/>
  <c r="D39" i="1" l="1"/>
  <c r="C39" i="1" s="1"/>
  <c r="E39" i="1" s="1"/>
  <c r="D40" i="1" l="1"/>
  <c r="C40" i="1" s="1"/>
  <c r="E40" i="1" s="1"/>
  <c r="D41" i="1" l="1"/>
  <c r="C41" i="1" s="1"/>
  <c r="E41" i="1" s="1"/>
  <c r="D42" i="1" l="1"/>
  <c r="C42" i="1" s="1"/>
  <c r="E42" i="1" s="1"/>
  <c r="D43" i="1" l="1"/>
  <c r="C43" i="1" s="1"/>
  <c r="E43" i="1" s="1"/>
  <c r="D44" i="1" l="1"/>
  <c r="C44" i="1" s="1"/>
  <c r="E44" i="1" s="1"/>
  <c r="D45" i="1" l="1"/>
  <c r="C45" i="1" s="1"/>
  <c r="E45" i="1" s="1"/>
  <c r="D46" i="1" l="1"/>
  <c r="C46" i="1" s="1"/>
  <c r="E46" i="1" s="1"/>
  <c r="D47" i="1" l="1"/>
  <c r="C47" i="1" l="1"/>
  <c r="H47" i="1"/>
  <c r="E47" i="1" l="1"/>
  <c r="D48" i="1" s="1"/>
  <c r="C48" i="1" s="1"/>
  <c r="E48" i="1" s="1"/>
  <c r="D49" i="1" s="1"/>
  <c r="C49" i="1" s="1"/>
  <c r="G47" i="1"/>
  <c r="E49" i="1" l="1"/>
  <c r="D50" i="1" s="1"/>
  <c r="C50" i="1" s="1"/>
  <c r="E50" i="1" s="1"/>
  <c r="D51" i="1" l="1"/>
  <c r="C51" i="1" s="1"/>
  <c r="E51" i="1" s="1"/>
  <c r="D52" i="1" l="1"/>
  <c r="C52" i="1" s="1"/>
  <c r="E52" i="1" s="1"/>
  <c r="D53" i="1" l="1"/>
  <c r="C53" i="1" s="1"/>
  <c r="E53" i="1" s="1"/>
  <c r="D54" i="1" l="1"/>
  <c r="C54" i="1" s="1"/>
  <c r="E54" i="1" s="1"/>
  <c r="D55" i="1" l="1"/>
  <c r="C55" i="1" s="1"/>
  <c r="E55" i="1" s="1"/>
  <c r="D56" i="1" l="1"/>
  <c r="C56" i="1" s="1"/>
  <c r="E56" i="1" s="1"/>
  <c r="D57" i="1" l="1"/>
  <c r="C57" i="1" s="1"/>
  <c r="E57" i="1" s="1"/>
  <c r="D58" i="1" l="1"/>
  <c r="C58" i="1" s="1"/>
  <c r="E58" i="1" s="1"/>
  <c r="D59" i="1" l="1"/>
  <c r="C59" i="1" s="1"/>
  <c r="E59" i="1" s="1"/>
  <c r="D60" i="1" l="1"/>
  <c r="C60" i="1" s="1"/>
  <c r="E60" i="1" s="1"/>
  <c r="D61" i="1" l="1"/>
  <c r="C61" i="1" s="1"/>
  <c r="E61" i="1" s="1"/>
  <c r="D62" i="1" l="1"/>
  <c r="C62" i="1" s="1"/>
  <c r="E62" i="1" s="1"/>
  <c r="D63" i="1" l="1"/>
  <c r="C63" i="1" s="1"/>
  <c r="E63" i="1" s="1"/>
  <c r="D64" i="1" l="1"/>
  <c r="C64" i="1" s="1"/>
  <c r="E64" i="1" s="1"/>
  <c r="D65" i="1" l="1"/>
  <c r="C65" i="1" s="1"/>
  <c r="E65" i="1" s="1"/>
  <c r="D66" i="1" l="1"/>
  <c r="C66" i="1" s="1"/>
  <c r="E66" i="1" s="1"/>
  <c r="D67" i="1" l="1"/>
  <c r="C67" i="1" s="1"/>
  <c r="E67" i="1" s="1"/>
  <c r="D68" i="1" l="1"/>
  <c r="C68" i="1" s="1"/>
  <c r="E68" i="1" s="1"/>
  <c r="D69" i="1" l="1"/>
  <c r="C69" i="1" s="1"/>
  <c r="E69" i="1" s="1"/>
  <c r="D70" i="1" l="1"/>
  <c r="C70" i="1" s="1"/>
  <c r="E70" i="1" s="1"/>
  <c r="D71" i="1" l="1"/>
  <c r="C71" i="1" s="1"/>
  <c r="E71" i="1" s="1"/>
  <c r="D72" i="1" s="1"/>
  <c r="C72" i="1" s="1"/>
  <c r="E72" i="1" s="1"/>
  <c r="D73" i="1" s="1"/>
  <c r="C73" i="1" s="1"/>
  <c r="E73" i="1" s="1"/>
  <c r="D74" i="1" s="1"/>
  <c r="C74" i="1" s="1"/>
  <c r="E74" i="1" s="1"/>
  <c r="D75" i="1" s="1"/>
  <c r="C75" i="1" s="1"/>
  <c r="E75" i="1" s="1"/>
  <c r="D76" i="1" s="1"/>
  <c r="C76" i="1" s="1"/>
  <c r="E76" i="1" s="1"/>
  <c r="D77" i="1" s="1"/>
  <c r="C77" i="1" s="1"/>
  <c r="E77" i="1" s="1"/>
  <c r="D78" i="1" l="1"/>
  <c r="C78" i="1" s="1"/>
  <c r="E78" i="1"/>
  <c r="D79" i="1" l="1"/>
  <c r="C79" i="1" s="1"/>
  <c r="E79" i="1" s="1"/>
  <c r="D80" i="1" s="1"/>
  <c r="C80" i="1" s="1"/>
  <c r="E80" i="1" s="1"/>
  <c r="D81" i="1" l="1"/>
  <c r="C81" i="1" s="1"/>
  <c r="E81" i="1" s="1"/>
  <c r="D82" i="1" s="1"/>
  <c r="C82" i="1" s="1"/>
  <c r="E82" i="1" s="1"/>
  <c r="D83" i="1" s="1"/>
  <c r="C83" i="1" s="1"/>
  <c r="E83" i="1" s="1"/>
  <c r="D84" i="1" l="1"/>
  <c r="C84" i="1" s="1"/>
  <c r="E84" i="1" s="1"/>
</calcChain>
</file>

<file path=xl/sharedStrings.xml><?xml version="1.0" encoding="utf-8"?>
<sst xmlns="http://schemas.openxmlformats.org/spreadsheetml/2006/main" count="18" uniqueCount="17">
  <si>
    <t>Valor total del prestado</t>
  </si>
  <si>
    <t>Frecuencia</t>
  </si>
  <si>
    <t>Tasa de interes anual</t>
  </si>
  <si>
    <t>Mensual</t>
  </si>
  <si>
    <t>Tiempo (años)</t>
  </si>
  <si>
    <t>Bimensual</t>
  </si>
  <si>
    <t>Trimestral</t>
  </si>
  <si>
    <t>Cuatrimestral</t>
  </si>
  <si>
    <t>Semestral</t>
  </si>
  <si>
    <t>Cuota nivelatoria (mensual)</t>
  </si>
  <si>
    <t>Anual</t>
  </si>
  <si>
    <t>No.</t>
  </si>
  <si>
    <t>Cuotas</t>
  </si>
  <si>
    <t>Capital</t>
  </si>
  <si>
    <t>Intereses</t>
  </si>
  <si>
    <t>Saldo</t>
  </si>
  <si>
    <t>Periodos (mensualidades)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</si>
</sst>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XDR&quot;* #,##0.00_-;\-&quot;XDR&quot;* #,##0.00_-;_-&quot;XDR&quot;* &quot;-&quot;??_-;_-@_-"/>
    <numFmt numFmtId="43" formatCode="_-* #,##0.00_-;\-* #,##0.00_-;_-* &quot;-&quot;??_-;_-@_-"/>
    <numFmt numFmtId="164" formatCode="&quot;$&quot;#,##0.00;[Red]\-&quot;$&quot;#,##0.00"/>
    <numFmt numFmtId="165" formatCode="#,##0_ ;\-#,##0\ "/>
    <numFmt numFmtId="166" formatCode="_-[$$-240A]\ * #,##0.00_-;\-[$$-240A]\ * #,##0.00_-;_-[$$-240A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9" fontId="3" fillId="0" borderId="0" xfId="0" applyNumberFormat="1" applyFont="1"/>
    <xf numFmtId="0" fontId="3" fillId="0" borderId="0" xfId="0" applyFont="1"/>
    <xf numFmtId="0" fontId="3" fillId="3" borderId="0" xfId="0" applyFont="1" applyFill="1"/>
    <xf numFmtId="164" fontId="0" fillId="0" borderId="0" xfId="0" applyNumberFormat="1"/>
    <xf numFmtId="165" fontId="3" fillId="0" borderId="0" xfId="1" applyNumberFormat="1" applyFont="1"/>
    <xf numFmtId="165" fontId="0" fillId="0" borderId="0" xfId="0" applyNumberFormat="1"/>
    <xf numFmtId="164" fontId="2" fillId="4" borderId="0" xfId="0" applyNumberFormat="1" applyFont="1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6" fontId="0" fillId="0" borderId="0" xfId="2" applyNumberFormat="1" applyFont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workbookViewId="0">
      <selection activeCell="I9" sqref="I9"/>
    </sheetView>
  </sheetViews>
  <sheetFormatPr baseColWidth="10" defaultColWidth="11.42578125" defaultRowHeight="15" x14ac:dyDescent="0.25"/>
  <cols>
    <col min="2" max="2" width="18.42578125" customWidth="1"/>
    <col min="3" max="3" width="18.42578125" bestFit="1" customWidth="1"/>
    <col min="4" max="4" width="19.140625" bestFit="1" customWidth="1"/>
    <col min="5" max="5" width="14.42578125" bestFit="1" customWidth="1"/>
    <col min="6" max="6" width="15.85546875" customWidth="1"/>
    <col min="7" max="7" width="14.42578125" customWidth="1"/>
    <col min="8" max="8" width="14.85546875" customWidth="1"/>
  </cols>
  <sheetData>
    <row r="1" spans="1:8" x14ac:dyDescent="0.25">
      <c r="A1" t="s">
        <v>0</v>
      </c>
      <c r="D1" s="7">
        <v>14000000</v>
      </c>
      <c r="G1" s="11" t="s">
        <v>1</v>
      </c>
      <c r="H1" s="11"/>
    </row>
    <row r="2" spans="1:8" x14ac:dyDescent="0.25">
      <c r="A2" t="s">
        <v>2</v>
      </c>
      <c r="D2" s="3">
        <v>0.1268</v>
      </c>
      <c r="G2" s="1" t="s">
        <v>3</v>
      </c>
      <c r="H2" s="1">
        <v>12</v>
      </c>
    </row>
    <row r="3" spans="1:8" x14ac:dyDescent="0.25">
      <c r="A3" t="s">
        <v>4</v>
      </c>
      <c r="D3" s="4">
        <v>3</v>
      </c>
      <c r="G3" s="1" t="s">
        <v>5</v>
      </c>
      <c r="H3" s="1">
        <v>6</v>
      </c>
    </row>
    <row r="4" spans="1:8" x14ac:dyDescent="0.25">
      <c r="A4" t="s">
        <v>1</v>
      </c>
      <c r="D4" s="4">
        <v>12</v>
      </c>
      <c r="G4" s="1" t="s">
        <v>6</v>
      </c>
      <c r="H4" s="1">
        <v>4</v>
      </c>
    </row>
    <row r="5" spans="1:8" x14ac:dyDescent="0.25">
      <c r="A5" t="s">
        <v>16</v>
      </c>
      <c r="D5">
        <f>D3*D4</f>
        <v>36</v>
      </c>
      <c r="G5" s="1" t="s">
        <v>7</v>
      </c>
      <c r="H5" s="1">
        <v>3</v>
      </c>
    </row>
    <row r="6" spans="1:8" x14ac:dyDescent="0.25">
      <c r="G6" s="1" t="s">
        <v>8</v>
      </c>
      <c r="H6" s="1">
        <v>2</v>
      </c>
    </row>
    <row r="7" spans="1:8" x14ac:dyDescent="0.25">
      <c r="A7" t="s">
        <v>9</v>
      </c>
      <c r="D7" s="9">
        <f>-PMT(D2/D4,D5,D1)</f>
        <v>469560.37454303051</v>
      </c>
      <c r="G7" s="1" t="s">
        <v>10</v>
      </c>
      <c r="H7" s="1">
        <v>1</v>
      </c>
    </row>
    <row r="9" spans="1:8" x14ac:dyDescent="0.25">
      <c r="A9" s="11"/>
      <c r="B9" s="11"/>
      <c r="C9" s="11"/>
      <c r="D9" s="11"/>
      <c r="E9" s="10"/>
    </row>
    <row r="10" spans="1:8" x14ac:dyDescent="0.25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</row>
    <row r="11" spans="1:8" x14ac:dyDescent="0.25">
      <c r="A11" s="2">
        <v>0</v>
      </c>
      <c r="E11" s="8">
        <f>+D1</f>
        <v>14000000</v>
      </c>
    </row>
    <row r="12" spans="1:8" x14ac:dyDescent="0.25">
      <c r="A12" s="2">
        <v>1</v>
      </c>
      <c r="B12" s="6">
        <f>+$D$7</f>
        <v>469560.37454303051</v>
      </c>
      <c r="C12" s="6">
        <f>+B12-D12</f>
        <v>321627.04120969714</v>
      </c>
      <c r="D12" s="6">
        <f>E11*$D$2/$D$4</f>
        <v>147933.33333333334</v>
      </c>
      <c r="E12" s="6">
        <f>+E11-C12</f>
        <v>13678372.958790302</v>
      </c>
    </row>
    <row r="13" spans="1:8" x14ac:dyDescent="0.25">
      <c r="A13" s="2">
        <v>2</v>
      </c>
      <c r="B13" s="6">
        <f t="shared" ref="B13:B76" si="0">+$D$7</f>
        <v>469560.37454303051</v>
      </c>
      <c r="C13" s="6">
        <f t="shared" ref="C13:C71" si="1">+B13-D13</f>
        <v>325025.5669451463</v>
      </c>
      <c r="D13" s="6">
        <f t="shared" ref="D13:D71" si="2">E12*$D$2/$D$4</f>
        <v>144534.80759788418</v>
      </c>
      <c r="E13" s="6">
        <f t="shared" ref="E13:E71" si="3">+E12-C13</f>
        <v>13353347.391845156</v>
      </c>
    </row>
    <row r="14" spans="1:8" x14ac:dyDescent="0.25">
      <c r="A14" s="2">
        <v>3</v>
      </c>
      <c r="B14" s="6">
        <f t="shared" si="0"/>
        <v>469560.37454303051</v>
      </c>
      <c r="C14" s="6">
        <f t="shared" si="1"/>
        <v>328460.00376920006</v>
      </c>
      <c r="D14" s="6">
        <f t="shared" si="2"/>
        <v>141100.37077383048</v>
      </c>
      <c r="E14" s="6">
        <f t="shared" si="3"/>
        <v>13024887.388075955</v>
      </c>
    </row>
    <row r="15" spans="1:8" x14ac:dyDescent="0.25">
      <c r="A15" s="2">
        <v>4</v>
      </c>
      <c r="B15" s="6">
        <f t="shared" si="0"/>
        <v>469560.37454303051</v>
      </c>
      <c r="C15" s="6">
        <f t="shared" si="1"/>
        <v>331930.7311423613</v>
      </c>
      <c r="D15" s="6">
        <f t="shared" si="2"/>
        <v>137629.64340066924</v>
      </c>
      <c r="E15" s="6">
        <f t="shared" si="3"/>
        <v>12692956.656933594</v>
      </c>
    </row>
    <row r="16" spans="1:8" x14ac:dyDescent="0.25">
      <c r="A16" s="2">
        <v>5</v>
      </c>
      <c r="B16" s="6">
        <f t="shared" si="0"/>
        <v>469560.37454303051</v>
      </c>
      <c r="C16" s="6">
        <f t="shared" si="1"/>
        <v>335438.13253476552</v>
      </c>
      <c r="D16" s="6">
        <f t="shared" si="2"/>
        <v>134122.24200826496</v>
      </c>
      <c r="E16" s="6">
        <f t="shared" si="3"/>
        <v>12357518.52439883</v>
      </c>
    </row>
    <row r="17" spans="1:5" x14ac:dyDescent="0.25">
      <c r="A17" s="2">
        <v>6</v>
      </c>
      <c r="B17" s="6">
        <f t="shared" si="0"/>
        <v>469560.37454303051</v>
      </c>
      <c r="C17" s="6">
        <f t="shared" si="1"/>
        <v>338982.59546854952</v>
      </c>
      <c r="D17" s="6">
        <f t="shared" si="2"/>
        <v>130577.77907448098</v>
      </c>
      <c r="E17" s="6">
        <f t="shared" si="3"/>
        <v>12018535.928930281</v>
      </c>
    </row>
    <row r="18" spans="1:5" x14ac:dyDescent="0.25">
      <c r="A18" s="2">
        <v>7</v>
      </c>
      <c r="B18" s="6">
        <f t="shared" si="0"/>
        <v>469560.37454303051</v>
      </c>
      <c r="C18" s="6">
        <f t="shared" si="1"/>
        <v>342564.51156066719</v>
      </c>
      <c r="D18" s="6">
        <f t="shared" si="2"/>
        <v>126995.86298236331</v>
      </c>
      <c r="E18" s="6">
        <f t="shared" si="3"/>
        <v>11675971.417369613</v>
      </c>
    </row>
    <row r="19" spans="1:5" x14ac:dyDescent="0.25">
      <c r="A19" s="2">
        <v>8</v>
      </c>
      <c r="B19" s="6">
        <f t="shared" si="0"/>
        <v>469560.37454303051</v>
      </c>
      <c r="C19" s="6">
        <f t="shared" si="1"/>
        <v>346184.27656615828</v>
      </c>
      <c r="D19" s="6">
        <f t="shared" si="2"/>
        <v>123376.09797687225</v>
      </c>
      <c r="E19" s="6">
        <f t="shared" si="3"/>
        <v>11329787.140803454</v>
      </c>
    </row>
    <row r="20" spans="1:5" x14ac:dyDescent="0.25">
      <c r="A20" s="2">
        <v>9</v>
      </c>
      <c r="B20" s="6">
        <f t="shared" si="0"/>
        <v>469560.37454303051</v>
      </c>
      <c r="C20" s="6">
        <f t="shared" si="1"/>
        <v>349842.29042187403</v>
      </c>
      <c r="D20" s="6">
        <f t="shared" si="2"/>
        <v>119718.0841211565</v>
      </c>
      <c r="E20" s="6">
        <f t="shared" si="3"/>
        <v>10979944.850381581</v>
      </c>
    </row>
    <row r="21" spans="1:5" x14ac:dyDescent="0.25">
      <c r="A21" s="2">
        <v>10</v>
      </c>
      <c r="B21" s="6">
        <f t="shared" si="0"/>
        <v>469560.37454303051</v>
      </c>
      <c r="C21" s="6">
        <f t="shared" si="1"/>
        <v>353538.95729066513</v>
      </c>
      <c r="D21" s="6">
        <f t="shared" si="2"/>
        <v>116021.41725236537</v>
      </c>
      <c r="E21" s="6">
        <f t="shared" si="3"/>
        <v>10626405.893090917</v>
      </c>
    </row>
    <row r="22" spans="1:5" x14ac:dyDescent="0.25">
      <c r="A22" s="2">
        <v>11</v>
      </c>
      <c r="B22" s="6">
        <f t="shared" si="0"/>
        <v>469560.37454303051</v>
      </c>
      <c r="C22" s="6">
        <f t="shared" si="1"/>
        <v>357274.68560603651</v>
      </c>
      <c r="D22" s="6">
        <f t="shared" si="2"/>
        <v>112285.68893699402</v>
      </c>
      <c r="E22" s="6">
        <f t="shared" si="3"/>
        <v>10269131.20748488</v>
      </c>
    </row>
    <row r="23" spans="1:5" x14ac:dyDescent="0.25">
      <c r="A23" s="2">
        <v>12</v>
      </c>
      <c r="B23" s="6">
        <f t="shared" si="0"/>
        <v>469560.37454303051</v>
      </c>
      <c r="C23" s="6">
        <f t="shared" si="1"/>
        <v>361049.88811727363</v>
      </c>
      <c r="D23" s="6">
        <f t="shared" si="2"/>
        <v>108510.4864257569</v>
      </c>
      <c r="E23" s="6">
        <f t="shared" si="3"/>
        <v>9908081.3193676062</v>
      </c>
    </row>
    <row r="24" spans="1:5" x14ac:dyDescent="0.25">
      <c r="A24" s="2">
        <v>13</v>
      </c>
      <c r="B24" s="6">
        <f t="shared" si="0"/>
        <v>469560.37454303051</v>
      </c>
      <c r="C24" s="6">
        <f t="shared" si="1"/>
        <v>364864.98193504615</v>
      </c>
      <c r="D24" s="6">
        <f t="shared" si="2"/>
        <v>104695.39260798437</v>
      </c>
      <c r="E24" s="6">
        <f t="shared" si="3"/>
        <v>9543216.3374325596</v>
      </c>
    </row>
    <row r="25" spans="1:5" x14ac:dyDescent="0.25">
      <c r="A25" s="2">
        <v>14</v>
      </c>
      <c r="B25" s="6">
        <f t="shared" si="0"/>
        <v>469560.37454303051</v>
      </c>
      <c r="C25" s="6">
        <f t="shared" si="1"/>
        <v>368720.38857749314</v>
      </c>
      <c r="D25" s="6">
        <f t="shared" si="2"/>
        <v>100839.98596553737</v>
      </c>
      <c r="E25" s="6">
        <f t="shared" si="3"/>
        <v>9174495.9488550667</v>
      </c>
    </row>
    <row r="26" spans="1:5" x14ac:dyDescent="0.25">
      <c r="A26" s="2">
        <v>15</v>
      </c>
      <c r="B26" s="6">
        <f t="shared" si="0"/>
        <v>469560.37454303051</v>
      </c>
      <c r="C26" s="6">
        <f t="shared" si="1"/>
        <v>372616.53401679534</v>
      </c>
      <c r="D26" s="6">
        <f t="shared" si="2"/>
        <v>96943.840526235188</v>
      </c>
      <c r="E26" s="6">
        <f t="shared" si="3"/>
        <v>8801879.4148382712</v>
      </c>
    </row>
    <row r="27" spans="1:5" x14ac:dyDescent="0.25">
      <c r="A27" s="2">
        <v>16</v>
      </c>
      <c r="B27" s="6">
        <f t="shared" si="0"/>
        <v>469560.37454303051</v>
      </c>
      <c r="C27" s="6">
        <f t="shared" si="1"/>
        <v>376553.84872623946</v>
      </c>
      <c r="D27" s="6">
        <f t="shared" si="2"/>
        <v>93006.525816791065</v>
      </c>
      <c r="E27" s="6">
        <f t="shared" si="3"/>
        <v>8425325.5661120322</v>
      </c>
    </row>
    <row r="28" spans="1:5" x14ac:dyDescent="0.25">
      <c r="A28" s="2">
        <v>17</v>
      </c>
      <c r="B28" s="6">
        <f t="shared" si="0"/>
        <v>469560.37454303051</v>
      </c>
      <c r="C28" s="6">
        <f t="shared" si="1"/>
        <v>380532.76772778004</v>
      </c>
      <c r="D28" s="6">
        <f t="shared" si="2"/>
        <v>89027.606815250474</v>
      </c>
      <c r="E28" s="6">
        <f t="shared" si="3"/>
        <v>8044792.798384252</v>
      </c>
    </row>
    <row r="29" spans="1:5" x14ac:dyDescent="0.25">
      <c r="A29" s="2">
        <v>18</v>
      </c>
      <c r="B29" s="6">
        <f t="shared" si="0"/>
        <v>469560.37454303051</v>
      </c>
      <c r="C29" s="6">
        <f t="shared" si="1"/>
        <v>384553.73064010357</v>
      </c>
      <c r="D29" s="6">
        <f t="shared" si="2"/>
        <v>85006.643902926924</v>
      </c>
      <c r="E29" s="6">
        <f t="shared" si="3"/>
        <v>7660239.0677441489</v>
      </c>
    </row>
    <row r="30" spans="1:5" x14ac:dyDescent="0.25">
      <c r="A30" s="2">
        <v>19</v>
      </c>
      <c r="B30" s="6">
        <f t="shared" si="0"/>
        <v>469560.37454303051</v>
      </c>
      <c r="C30" s="6">
        <f t="shared" si="1"/>
        <v>388617.18172720069</v>
      </c>
      <c r="D30" s="6">
        <f t="shared" si="2"/>
        <v>80943.19281582984</v>
      </c>
      <c r="E30" s="6">
        <f t="shared" si="3"/>
        <v>7271621.8860169481</v>
      </c>
    </row>
    <row r="31" spans="1:5" x14ac:dyDescent="0.25">
      <c r="A31" s="2">
        <v>20</v>
      </c>
      <c r="B31" s="6">
        <f t="shared" si="0"/>
        <v>469560.37454303051</v>
      </c>
      <c r="C31" s="6">
        <f t="shared" si="1"/>
        <v>392723.56994745141</v>
      </c>
      <c r="D31" s="6">
        <f t="shared" si="2"/>
        <v>76836.804595579088</v>
      </c>
      <c r="E31" s="6">
        <f t="shared" si="3"/>
        <v>6878898.3160694968</v>
      </c>
    </row>
    <row r="32" spans="1:5" x14ac:dyDescent="0.25">
      <c r="A32" s="2">
        <v>21</v>
      </c>
      <c r="B32" s="6">
        <f t="shared" si="0"/>
        <v>469560.37454303051</v>
      </c>
      <c r="C32" s="6">
        <f t="shared" si="1"/>
        <v>396873.34900322952</v>
      </c>
      <c r="D32" s="6">
        <f t="shared" si="2"/>
        <v>72687.025539801005</v>
      </c>
      <c r="E32" s="6">
        <f t="shared" si="3"/>
        <v>6482024.9670662675</v>
      </c>
    </row>
    <row r="33" spans="1:8" x14ac:dyDescent="0.25">
      <c r="A33" s="2">
        <v>22</v>
      </c>
      <c r="B33" s="6">
        <f t="shared" si="0"/>
        <v>469560.37454303051</v>
      </c>
      <c r="C33" s="6">
        <f t="shared" si="1"/>
        <v>401066.97739103029</v>
      </c>
      <c r="D33" s="6">
        <f t="shared" si="2"/>
        <v>68493.397152000223</v>
      </c>
      <c r="E33" s="6">
        <f t="shared" si="3"/>
        <v>6080957.9896752369</v>
      </c>
    </row>
    <row r="34" spans="1:8" x14ac:dyDescent="0.25">
      <c r="A34" s="2">
        <v>23</v>
      </c>
      <c r="B34" s="6">
        <f t="shared" si="0"/>
        <v>469560.37454303051</v>
      </c>
      <c r="C34" s="6">
        <f t="shared" si="1"/>
        <v>405304.91845212883</v>
      </c>
      <c r="D34" s="6">
        <f t="shared" si="2"/>
        <v>64255.456090901665</v>
      </c>
      <c r="E34" s="6">
        <f t="shared" si="3"/>
        <v>5675653.0712231081</v>
      </c>
    </row>
    <row r="35" spans="1:8" x14ac:dyDescent="0.25">
      <c r="A35" s="2">
        <v>24</v>
      </c>
      <c r="B35" s="6">
        <f t="shared" si="0"/>
        <v>469560.37454303051</v>
      </c>
      <c r="C35" s="6">
        <f t="shared" si="1"/>
        <v>409587.64042377297</v>
      </c>
      <c r="D35" s="6">
        <f t="shared" si="2"/>
        <v>59972.734119257511</v>
      </c>
      <c r="E35" s="6">
        <f t="shared" si="3"/>
        <v>5266065.4307993352</v>
      </c>
    </row>
    <row r="36" spans="1:8" x14ac:dyDescent="0.25">
      <c r="A36" s="2">
        <v>25</v>
      </c>
      <c r="B36" s="6">
        <f t="shared" si="0"/>
        <v>469560.37454303051</v>
      </c>
      <c r="C36" s="6">
        <f t="shared" si="1"/>
        <v>413915.61649091751</v>
      </c>
      <c r="D36" s="6">
        <f t="shared" si="2"/>
        <v>55644.758052112971</v>
      </c>
      <c r="E36" s="6">
        <f t="shared" si="3"/>
        <v>4852149.814308418</v>
      </c>
    </row>
    <row r="37" spans="1:8" x14ac:dyDescent="0.25">
      <c r="A37" s="2">
        <v>26</v>
      </c>
      <c r="B37" s="6">
        <f t="shared" si="0"/>
        <v>469560.37454303051</v>
      </c>
      <c r="C37" s="6">
        <f t="shared" si="1"/>
        <v>418289.32483850489</v>
      </c>
      <c r="D37" s="6">
        <f t="shared" si="2"/>
        <v>51271.049704525612</v>
      </c>
      <c r="E37" s="6">
        <f t="shared" si="3"/>
        <v>4433860.4894699128</v>
      </c>
    </row>
    <row r="38" spans="1:8" x14ac:dyDescent="0.25">
      <c r="A38" s="2">
        <v>27</v>
      </c>
      <c r="B38" s="6">
        <f t="shared" si="0"/>
        <v>469560.37454303051</v>
      </c>
      <c r="C38" s="6">
        <f t="shared" si="1"/>
        <v>422709.24870429846</v>
      </c>
      <c r="D38" s="6">
        <f t="shared" si="2"/>
        <v>46851.125838732078</v>
      </c>
      <c r="E38" s="6">
        <f t="shared" si="3"/>
        <v>4011151.2407656144</v>
      </c>
    </row>
    <row r="39" spans="1:8" x14ac:dyDescent="0.25">
      <c r="A39" s="2">
        <v>28</v>
      </c>
      <c r="B39" s="6">
        <f t="shared" si="0"/>
        <v>469560.37454303051</v>
      </c>
      <c r="C39" s="6">
        <f t="shared" si="1"/>
        <v>427175.87643227389</v>
      </c>
      <c r="D39" s="6">
        <f t="shared" si="2"/>
        <v>42384.498110756656</v>
      </c>
      <c r="E39" s="6">
        <f t="shared" si="3"/>
        <v>3583975.3643333404</v>
      </c>
    </row>
    <row r="40" spans="1:8" x14ac:dyDescent="0.25">
      <c r="A40" s="2">
        <v>29</v>
      </c>
      <c r="B40" s="6">
        <f t="shared" si="0"/>
        <v>469560.37454303051</v>
      </c>
      <c r="C40" s="6">
        <f t="shared" si="1"/>
        <v>431689.70152657491</v>
      </c>
      <c r="D40" s="6">
        <f t="shared" si="2"/>
        <v>37870.673016455628</v>
      </c>
      <c r="E40" s="6">
        <f t="shared" si="3"/>
        <v>3152285.6628067656</v>
      </c>
    </row>
    <row r="41" spans="1:8" x14ac:dyDescent="0.25">
      <c r="A41" s="2">
        <v>30</v>
      </c>
      <c r="B41" s="6">
        <f t="shared" si="0"/>
        <v>469560.37454303051</v>
      </c>
      <c r="C41" s="6">
        <f t="shared" si="1"/>
        <v>436251.22270603903</v>
      </c>
      <c r="D41" s="6">
        <f t="shared" si="2"/>
        <v>33309.151836991492</v>
      </c>
      <c r="E41" s="6">
        <f t="shared" si="3"/>
        <v>2716034.4401007267</v>
      </c>
    </row>
    <row r="42" spans="1:8" x14ac:dyDescent="0.25">
      <c r="A42" s="2">
        <v>31</v>
      </c>
      <c r="B42" s="6">
        <f t="shared" si="0"/>
        <v>469560.37454303051</v>
      </c>
      <c r="C42" s="6">
        <f t="shared" si="1"/>
        <v>440860.94395929947</v>
      </c>
      <c r="D42" s="6">
        <f t="shared" si="2"/>
        <v>28699.430583731009</v>
      </c>
      <c r="E42" s="6">
        <f t="shared" si="3"/>
        <v>2275173.4961414272</v>
      </c>
    </row>
    <row r="43" spans="1:8" x14ac:dyDescent="0.25">
      <c r="A43" s="2">
        <v>32</v>
      </c>
      <c r="B43" s="6">
        <f t="shared" si="0"/>
        <v>469560.37454303051</v>
      </c>
      <c r="C43" s="6">
        <f t="shared" si="1"/>
        <v>445519.37460046943</v>
      </c>
      <c r="D43" s="6">
        <f t="shared" si="2"/>
        <v>24040.999942561077</v>
      </c>
      <c r="E43" s="6">
        <f t="shared" si="3"/>
        <v>1829654.1215409578</v>
      </c>
    </row>
    <row r="44" spans="1:8" x14ac:dyDescent="0.25">
      <c r="A44" s="2">
        <v>33</v>
      </c>
      <c r="B44" s="6">
        <f t="shared" si="0"/>
        <v>469560.37454303051</v>
      </c>
      <c r="C44" s="6">
        <f t="shared" si="1"/>
        <v>450227.02932541439</v>
      </c>
      <c r="D44" s="6">
        <f t="shared" si="2"/>
        <v>19333.345217616119</v>
      </c>
      <c r="E44" s="6">
        <f t="shared" si="3"/>
        <v>1379427.0922155434</v>
      </c>
    </row>
    <row r="45" spans="1:8" x14ac:dyDescent="0.25">
      <c r="A45" s="2">
        <v>34</v>
      </c>
      <c r="B45" s="6">
        <f t="shared" si="0"/>
        <v>469560.37454303051</v>
      </c>
      <c r="C45" s="6">
        <f t="shared" si="1"/>
        <v>454984.42826861958</v>
      </c>
      <c r="D45" s="6">
        <f t="shared" si="2"/>
        <v>14575.94627441091</v>
      </c>
      <c r="E45" s="6">
        <f t="shared" si="3"/>
        <v>924442.6639469238</v>
      </c>
    </row>
    <row r="46" spans="1:8" x14ac:dyDescent="0.25">
      <c r="A46" s="2">
        <v>35</v>
      </c>
      <c r="B46" s="6">
        <f t="shared" si="0"/>
        <v>469560.37454303051</v>
      </c>
      <c r="C46" s="6">
        <f t="shared" si="1"/>
        <v>459792.09706065804</v>
      </c>
      <c r="D46" s="6">
        <f t="shared" si="2"/>
        <v>9768.277482372494</v>
      </c>
      <c r="E46" s="6">
        <f t="shared" si="3"/>
        <v>464650.56688626576</v>
      </c>
    </row>
    <row r="47" spans="1:8" x14ac:dyDescent="0.25">
      <c r="A47" s="2">
        <v>36</v>
      </c>
      <c r="B47" s="6">
        <f t="shared" si="0"/>
        <v>469560.37454303051</v>
      </c>
      <c r="C47" s="6">
        <f t="shared" si="1"/>
        <v>464650.56688626565</v>
      </c>
      <c r="D47" s="6">
        <f t="shared" si="2"/>
        <v>4909.807656764875</v>
      </c>
      <c r="E47" s="6">
        <f t="shared" si="3"/>
        <v>0</v>
      </c>
      <c r="F47" s="6">
        <f>SUM(B12:B47)</f>
        <v>16904173.483549088</v>
      </c>
      <c r="G47" s="6">
        <f>SUM(C12:C47)</f>
        <v>14000000</v>
      </c>
      <c r="H47" s="12">
        <f>SUM(D11:D47)</f>
        <v>2904173.4835490966</v>
      </c>
    </row>
    <row r="48" spans="1:8" x14ac:dyDescent="0.25">
      <c r="A48" s="2">
        <v>37</v>
      </c>
      <c r="B48" s="6">
        <f t="shared" si="0"/>
        <v>469560.37454303051</v>
      </c>
      <c r="C48" s="6">
        <f t="shared" si="1"/>
        <v>469560.37454303051</v>
      </c>
      <c r="D48" s="6">
        <f t="shared" si="2"/>
        <v>0</v>
      </c>
      <c r="E48" s="6">
        <f t="shared" si="3"/>
        <v>-469560.37454303051</v>
      </c>
    </row>
    <row r="49" spans="1:5" x14ac:dyDescent="0.25">
      <c r="A49" s="2">
        <v>38</v>
      </c>
      <c r="B49" s="6">
        <f t="shared" si="0"/>
        <v>469560.37454303051</v>
      </c>
      <c r="C49" s="6">
        <f t="shared" si="1"/>
        <v>474522.06250070187</v>
      </c>
      <c r="D49" s="6">
        <f t="shared" si="2"/>
        <v>-4961.6879576713554</v>
      </c>
      <c r="E49" s="6">
        <f t="shared" si="3"/>
        <v>-944082.43704373238</v>
      </c>
    </row>
    <row r="50" spans="1:5" x14ac:dyDescent="0.25">
      <c r="A50" s="2">
        <v>39</v>
      </c>
      <c r="B50" s="6">
        <f t="shared" si="0"/>
        <v>469560.37454303051</v>
      </c>
      <c r="C50" s="6">
        <f t="shared" si="1"/>
        <v>479536.17896112596</v>
      </c>
      <c r="D50" s="6">
        <f t="shared" si="2"/>
        <v>-9975.8044180954385</v>
      </c>
      <c r="E50" s="6">
        <f t="shared" si="3"/>
        <v>-1423618.6160048584</v>
      </c>
    </row>
    <row r="51" spans="1:5" x14ac:dyDescent="0.25">
      <c r="A51" s="2">
        <v>40</v>
      </c>
      <c r="B51" s="6">
        <f t="shared" si="0"/>
        <v>469560.37454303051</v>
      </c>
      <c r="C51" s="6">
        <f t="shared" si="1"/>
        <v>484603.27791881521</v>
      </c>
      <c r="D51" s="6">
        <f t="shared" si="2"/>
        <v>-15042.90337578467</v>
      </c>
      <c r="E51" s="6">
        <f t="shared" si="3"/>
        <v>-1908221.8939236735</v>
      </c>
    </row>
    <row r="52" spans="1:5" x14ac:dyDescent="0.25">
      <c r="A52" s="2">
        <v>41</v>
      </c>
      <c r="B52" s="6">
        <f t="shared" si="0"/>
        <v>469560.37454303051</v>
      </c>
      <c r="C52" s="6">
        <f t="shared" si="1"/>
        <v>489723.91922215733</v>
      </c>
      <c r="D52" s="6">
        <f t="shared" si="2"/>
        <v>-20163.544679126815</v>
      </c>
      <c r="E52" s="6">
        <f t="shared" si="3"/>
        <v>-2397945.8131458308</v>
      </c>
    </row>
    <row r="53" spans="1:5" x14ac:dyDescent="0.25">
      <c r="A53" s="2">
        <v>42</v>
      </c>
      <c r="B53" s="6">
        <f t="shared" si="0"/>
        <v>469560.37454303051</v>
      </c>
      <c r="C53" s="6">
        <f t="shared" si="1"/>
        <v>494898.66863527143</v>
      </c>
      <c r="D53" s="6">
        <f t="shared" si="2"/>
        <v>-25338.294092240943</v>
      </c>
      <c r="E53" s="6">
        <f t="shared" si="3"/>
        <v>-2892844.4817811023</v>
      </c>
    </row>
    <row r="54" spans="1:5" x14ac:dyDescent="0.25">
      <c r="A54" s="2">
        <v>43</v>
      </c>
      <c r="B54" s="6">
        <f t="shared" si="0"/>
        <v>469560.37454303051</v>
      </c>
      <c r="C54" s="6">
        <f t="shared" si="1"/>
        <v>500128.09790051752</v>
      </c>
      <c r="D54" s="6">
        <f t="shared" si="2"/>
        <v>-30567.723357486979</v>
      </c>
      <c r="E54" s="6">
        <f t="shared" si="3"/>
        <v>-3392972.57968162</v>
      </c>
    </row>
    <row r="55" spans="1:5" x14ac:dyDescent="0.25">
      <c r="A55" s="2">
        <v>44</v>
      </c>
      <c r="B55" s="6">
        <f t="shared" si="0"/>
        <v>469560.37454303051</v>
      </c>
      <c r="C55" s="6">
        <f t="shared" si="1"/>
        <v>505412.78480166628</v>
      </c>
      <c r="D55" s="6">
        <f t="shared" si="2"/>
        <v>-35852.410258635784</v>
      </c>
      <c r="E55" s="6">
        <f t="shared" si="3"/>
        <v>-3898385.3644832862</v>
      </c>
    </row>
    <row r="56" spans="1:5" x14ac:dyDescent="0.25">
      <c r="A56" s="2">
        <v>45</v>
      </c>
      <c r="B56" s="6">
        <f t="shared" si="0"/>
        <v>469560.37454303051</v>
      </c>
      <c r="C56" s="6">
        <f t="shared" si="1"/>
        <v>510753.31322773721</v>
      </c>
      <c r="D56" s="6">
        <f t="shared" si="2"/>
        <v>-41192.938684706722</v>
      </c>
      <c r="E56" s="6">
        <f t="shared" si="3"/>
        <v>-4409138.677711023</v>
      </c>
    </row>
    <row r="57" spans="1:5" x14ac:dyDescent="0.25">
      <c r="A57" s="2">
        <v>46</v>
      </c>
      <c r="B57" s="6">
        <f t="shared" si="0"/>
        <v>469560.37454303051</v>
      </c>
      <c r="C57" s="6">
        <f t="shared" si="1"/>
        <v>516150.27323751035</v>
      </c>
      <c r="D57" s="6">
        <f t="shared" si="2"/>
        <v>-46589.898694479809</v>
      </c>
      <c r="E57" s="6">
        <f t="shared" si="3"/>
        <v>-4925288.9509485336</v>
      </c>
    </row>
    <row r="58" spans="1:5" x14ac:dyDescent="0.25">
      <c r="A58" s="2">
        <v>47</v>
      </c>
      <c r="B58" s="6">
        <f t="shared" si="0"/>
        <v>469560.37454303051</v>
      </c>
      <c r="C58" s="6">
        <f t="shared" si="1"/>
        <v>521604.26112472004</v>
      </c>
      <c r="D58" s="6">
        <f t="shared" si="2"/>
        <v>-52043.886581689505</v>
      </c>
      <c r="E58" s="6">
        <f t="shared" si="3"/>
        <v>-5446893.2120732535</v>
      </c>
    </row>
    <row r="59" spans="1:5" x14ac:dyDescent="0.25">
      <c r="A59" s="2">
        <v>48</v>
      </c>
      <c r="B59" s="6">
        <f t="shared" si="0"/>
        <v>469560.37454303051</v>
      </c>
      <c r="C59" s="6">
        <f t="shared" si="1"/>
        <v>527115.87948393787</v>
      </c>
      <c r="D59" s="6">
        <f t="shared" si="2"/>
        <v>-57555.504940907376</v>
      </c>
      <c r="E59" s="6">
        <f t="shared" si="3"/>
        <v>-5974009.0915571917</v>
      </c>
    </row>
    <row r="60" spans="1:5" x14ac:dyDescent="0.25">
      <c r="A60" s="2">
        <v>49</v>
      </c>
      <c r="B60" s="6">
        <f t="shared" si="0"/>
        <v>469560.37454303051</v>
      </c>
      <c r="C60" s="6">
        <f t="shared" si="1"/>
        <v>532685.73727715155</v>
      </c>
      <c r="D60" s="6">
        <f t="shared" si="2"/>
        <v>-63125.362734120987</v>
      </c>
      <c r="E60" s="6">
        <f t="shared" si="3"/>
        <v>-6506694.8288343437</v>
      </c>
    </row>
    <row r="61" spans="1:5" x14ac:dyDescent="0.25">
      <c r="A61" s="2">
        <v>50</v>
      </c>
      <c r="B61" s="6">
        <f t="shared" si="0"/>
        <v>469560.37454303051</v>
      </c>
      <c r="C61" s="6">
        <f t="shared" si="1"/>
        <v>538314.4499010467</v>
      </c>
      <c r="D61" s="6">
        <f t="shared" si="2"/>
        <v>-68754.075358016227</v>
      </c>
      <c r="E61" s="6">
        <f t="shared" si="3"/>
        <v>-7045009.2787353899</v>
      </c>
    </row>
    <row r="62" spans="1:5" x14ac:dyDescent="0.25">
      <c r="A62" s="2">
        <v>51</v>
      </c>
      <c r="B62" s="6">
        <f t="shared" si="0"/>
        <v>469560.37454303051</v>
      </c>
      <c r="C62" s="6">
        <f t="shared" si="1"/>
        <v>544002.63925500109</v>
      </c>
      <c r="D62" s="6">
        <f t="shared" si="2"/>
        <v>-74442.264711970623</v>
      </c>
      <c r="E62" s="6">
        <f t="shared" si="3"/>
        <v>-7589011.9179903911</v>
      </c>
    </row>
    <row r="63" spans="1:5" x14ac:dyDescent="0.25">
      <c r="A63" s="2">
        <v>52</v>
      </c>
      <c r="B63" s="6">
        <f t="shared" si="0"/>
        <v>469560.37454303051</v>
      </c>
      <c r="C63" s="6">
        <f t="shared" si="1"/>
        <v>549750.93380979565</v>
      </c>
      <c r="D63" s="6">
        <f t="shared" si="2"/>
        <v>-80190.559266765122</v>
      </c>
      <c r="E63" s="6">
        <f t="shared" si="3"/>
        <v>-8138762.8518001866</v>
      </c>
    </row>
    <row r="64" spans="1:5" x14ac:dyDescent="0.25">
      <c r="A64" s="2">
        <v>53</v>
      </c>
      <c r="B64" s="6">
        <f t="shared" si="0"/>
        <v>469560.37454303051</v>
      </c>
      <c r="C64" s="6">
        <f t="shared" si="1"/>
        <v>555559.96867705253</v>
      </c>
      <c r="D64" s="6">
        <f t="shared" si="2"/>
        <v>-85999.594134021972</v>
      </c>
      <c r="E64" s="6">
        <f t="shared" si="3"/>
        <v>-8694322.8204772398</v>
      </c>
    </row>
    <row r="65" spans="1:5" x14ac:dyDescent="0.25">
      <c r="A65" s="2">
        <v>54</v>
      </c>
      <c r="B65" s="6">
        <f t="shared" si="0"/>
        <v>469560.37454303051</v>
      </c>
      <c r="C65" s="6">
        <f t="shared" si="1"/>
        <v>561430.3856794067</v>
      </c>
      <c r="D65" s="6">
        <f t="shared" si="2"/>
        <v>-91870.011136376168</v>
      </c>
      <c r="E65" s="6">
        <f t="shared" si="3"/>
        <v>-9255753.2061566468</v>
      </c>
    </row>
    <row r="66" spans="1:5" x14ac:dyDescent="0.25">
      <c r="A66" s="2">
        <v>55</v>
      </c>
      <c r="B66" s="6">
        <f t="shared" si="0"/>
        <v>469560.37454303051</v>
      </c>
      <c r="C66" s="6">
        <f t="shared" si="1"/>
        <v>567362.83342141914</v>
      </c>
      <c r="D66" s="6">
        <f t="shared" si="2"/>
        <v>-97802.45887838857</v>
      </c>
      <c r="E66" s="6">
        <f t="shared" si="3"/>
        <v>-9823116.0395780653</v>
      </c>
    </row>
    <row r="67" spans="1:5" x14ac:dyDescent="0.25">
      <c r="A67" s="2">
        <v>56</v>
      </c>
      <c r="B67" s="6">
        <f t="shared" si="0"/>
        <v>469560.37454303051</v>
      </c>
      <c r="C67" s="6">
        <f t="shared" si="1"/>
        <v>573357.96736123879</v>
      </c>
      <c r="D67" s="6">
        <f t="shared" si="2"/>
        <v>-103797.59281820821</v>
      </c>
      <c r="E67" s="6">
        <f t="shared" si="3"/>
        <v>-10396474.006939303</v>
      </c>
    </row>
    <row r="68" spans="1:5" x14ac:dyDescent="0.25">
      <c r="A68" s="2">
        <v>57</v>
      </c>
      <c r="B68" s="6">
        <f t="shared" si="0"/>
        <v>469560.37454303051</v>
      </c>
      <c r="C68" s="6">
        <f t="shared" si="1"/>
        <v>579416.44988302246</v>
      </c>
      <c r="D68" s="6">
        <f t="shared" si="2"/>
        <v>-109856.07533999196</v>
      </c>
      <c r="E68" s="6">
        <f t="shared" si="3"/>
        <v>-10975890.456822326</v>
      </c>
    </row>
    <row r="69" spans="1:5" x14ac:dyDescent="0.25">
      <c r="A69" s="2">
        <v>58</v>
      </c>
      <c r="B69" s="6">
        <f t="shared" si="0"/>
        <v>469560.37454303051</v>
      </c>
      <c r="C69" s="6">
        <f t="shared" si="1"/>
        <v>585538.95037011977</v>
      </c>
      <c r="D69" s="6">
        <f t="shared" si="2"/>
        <v>-115978.57582708925</v>
      </c>
      <c r="E69" s="6">
        <f t="shared" si="3"/>
        <v>-11561429.407192446</v>
      </c>
    </row>
    <row r="70" spans="1:5" x14ac:dyDescent="0.25">
      <c r="A70" s="2">
        <v>59</v>
      </c>
      <c r="B70" s="6">
        <f t="shared" si="0"/>
        <v>469560.37454303051</v>
      </c>
      <c r="C70" s="6">
        <f t="shared" si="1"/>
        <v>591726.14527903066</v>
      </c>
      <c r="D70" s="6">
        <f t="shared" si="2"/>
        <v>-122165.77073600017</v>
      </c>
      <c r="E70" s="6">
        <f t="shared" si="3"/>
        <v>-12153155.552471478</v>
      </c>
    </row>
    <row r="71" spans="1:5" x14ac:dyDescent="0.25">
      <c r="A71" s="2">
        <v>60</v>
      </c>
      <c r="B71" s="6">
        <f t="shared" si="0"/>
        <v>469560.37454303051</v>
      </c>
      <c r="C71" s="6">
        <f t="shared" si="1"/>
        <v>597978.71821414575</v>
      </c>
      <c r="D71" s="6">
        <f t="shared" si="2"/>
        <v>-128418.34367111528</v>
      </c>
      <c r="E71" s="6">
        <f t="shared" si="3"/>
        <v>-12751134.270685622</v>
      </c>
    </row>
    <row r="72" spans="1:5" x14ac:dyDescent="0.25">
      <c r="A72" s="2">
        <v>61</v>
      </c>
      <c r="B72" s="6">
        <f t="shared" si="0"/>
        <v>469560.37454303051</v>
      </c>
      <c r="C72" s="6">
        <f t="shared" ref="C72:C74" si="4">+B72-D72</f>
        <v>604297.36000327521</v>
      </c>
      <c r="D72" s="6">
        <f t="shared" ref="D72:D74" si="5">E71*$D$2/$D$4</f>
        <v>-134736.98546024473</v>
      </c>
      <c r="E72" s="6">
        <f t="shared" ref="E72:E74" si="6">+E71-C72</f>
        <v>-13355431.630688898</v>
      </c>
    </row>
    <row r="73" spans="1:5" x14ac:dyDescent="0.25">
      <c r="A73" s="2">
        <v>62</v>
      </c>
      <c r="B73" s="6">
        <f t="shared" si="0"/>
        <v>469560.37454303051</v>
      </c>
      <c r="C73" s="6">
        <f t="shared" si="4"/>
        <v>610682.76877397648</v>
      </c>
      <c r="D73" s="6">
        <f t="shared" si="5"/>
        <v>-141122.39423094603</v>
      </c>
      <c r="E73" s="6">
        <f t="shared" si="6"/>
        <v>-13966114.399462875</v>
      </c>
    </row>
    <row r="74" spans="1:5" x14ac:dyDescent="0.25">
      <c r="A74" s="2">
        <v>63</v>
      </c>
      <c r="B74" s="6">
        <f t="shared" si="0"/>
        <v>469560.37454303051</v>
      </c>
      <c r="C74" s="6">
        <f t="shared" si="4"/>
        <v>617135.65003068827</v>
      </c>
      <c r="D74" s="6">
        <f t="shared" si="5"/>
        <v>-147575.27548765772</v>
      </c>
      <c r="E74" s="6">
        <f t="shared" si="6"/>
        <v>-14583250.049493562</v>
      </c>
    </row>
    <row r="75" spans="1:5" x14ac:dyDescent="0.25">
      <c r="A75" s="2">
        <v>64</v>
      </c>
      <c r="B75" s="6">
        <f t="shared" si="0"/>
        <v>469560.37454303051</v>
      </c>
      <c r="C75" s="6">
        <f t="shared" ref="C75:C77" si="7">+B75-D75</f>
        <v>623656.71673267917</v>
      </c>
      <c r="D75" s="6">
        <f t="shared" ref="D75:D77" si="8">E74*$D$2/$D$4</f>
        <v>-154096.34218964863</v>
      </c>
      <c r="E75" s="6">
        <f t="shared" ref="E75:E77" si="9">+E74-C75</f>
        <v>-15206906.766226241</v>
      </c>
    </row>
    <row r="76" spans="1:5" x14ac:dyDescent="0.25">
      <c r="A76" s="2">
        <v>65</v>
      </c>
      <c r="B76" s="6">
        <f t="shared" si="0"/>
        <v>469560.37454303051</v>
      </c>
      <c r="C76" s="6">
        <f t="shared" si="7"/>
        <v>630246.68937282113</v>
      </c>
      <c r="D76" s="6">
        <f t="shared" si="8"/>
        <v>-160686.31482979062</v>
      </c>
      <c r="E76" s="6">
        <f t="shared" si="9"/>
        <v>-15837153.455599062</v>
      </c>
    </row>
    <row r="77" spans="1:5" x14ac:dyDescent="0.25">
      <c r="A77" s="2">
        <v>66</v>
      </c>
      <c r="B77" s="6">
        <f t="shared" ref="B77:B84" si="10">+$D$7</f>
        <v>469560.37454303051</v>
      </c>
      <c r="C77" s="6">
        <f t="shared" si="7"/>
        <v>636906.29605719389</v>
      </c>
      <c r="D77" s="6">
        <f t="shared" si="8"/>
        <v>-167345.9215141634</v>
      </c>
      <c r="E77" s="6">
        <f t="shared" si="9"/>
        <v>-16474059.751656257</v>
      </c>
    </row>
    <row r="78" spans="1:5" x14ac:dyDescent="0.25">
      <c r="A78" s="2">
        <v>67</v>
      </c>
      <c r="B78" s="6">
        <f t="shared" si="10"/>
        <v>469560.37454303051</v>
      </c>
      <c r="C78" s="6">
        <f t="shared" ref="C78:C84" si="11">+B78-D78</f>
        <v>643636.27258553158</v>
      </c>
      <c r="D78" s="6">
        <f t="shared" ref="D78:D84" si="12">E77*$D$2/$D$4</f>
        <v>-174075.8980425011</v>
      </c>
      <c r="E78" s="6">
        <f t="shared" ref="E78:E84" si="13">+E77-C78</f>
        <v>-17117696.024241786</v>
      </c>
    </row>
    <row r="79" spans="1:5" x14ac:dyDescent="0.25">
      <c r="A79" s="2">
        <v>68</v>
      </c>
      <c r="B79" s="6">
        <f t="shared" si="10"/>
        <v>469560.37454303051</v>
      </c>
      <c r="C79" s="6">
        <f t="shared" si="11"/>
        <v>650437.36253251869</v>
      </c>
      <c r="D79" s="6">
        <f t="shared" si="12"/>
        <v>-180876.9879894882</v>
      </c>
      <c r="E79" s="6">
        <f t="shared" si="13"/>
        <v>-17768133.386774305</v>
      </c>
    </row>
    <row r="80" spans="1:5" x14ac:dyDescent="0.25">
      <c r="A80" s="2">
        <v>69</v>
      </c>
      <c r="B80" s="6">
        <f t="shared" si="10"/>
        <v>469560.37454303051</v>
      </c>
      <c r="C80" s="6">
        <f t="shared" si="11"/>
        <v>657310.31732994562</v>
      </c>
      <c r="D80" s="6">
        <f t="shared" si="12"/>
        <v>-187749.94278691514</v>
      </c>
      <c r="E80" s="6">
        <f t="shared" si="13"/>
        <v>-18425443.704104252</v>
      </c>
    </row>
    <row r="81" spans="1:5" x14ac:dyDescent="0.25">
      <c r="A81" s="2">
        <v>70</v>
      </c>
      <c r="B81" s="6">
        <f t="shared" si="10"/>
        <v>469560.37454303051</v>
      </c>
      <c r="C81" s="6">
        <f t="shared" si="11"/>
        <v>664255.89634973207</v>
      </c>
      <c r="D81" s="6">
        <f t="shared" si="12"/>
        <v>-194695.52180670158</v>
      </c>
      <c r="E81" s="6">
        <f t="shared" si="13"/>
        <v>-19089699.600453984</v>
      </c>
    </row>
    <row r="82" spans="1:5" x14ac:dyDescent="0.25">
      <c r="A82" s="2">
        <v>71</v>
      </c>
      <c r="B82" s="6">
        <f t="shared" si="10"/>
        <v>469560.37454303051</v>
      </c>
      <c r="C82" s="6">
        <f t="shared" si="11"/>
        <v>671274.86698782758</v>
      </c>
      <c r="D82" s="6">
        <f t="shared" si="12"/>
        <v>-201714.4924447971</v>
      </c>
      <c r="E82" s="6">
        <f t="shared" si="13"/>
        <v>-19760974.467441812</v>
      </c>
    </row>
    <row r="83" spans="1:5" x14ac:dyDescent="0.25">
      <c r="A83" s="2">
        <v>72</v>
      </c>
      <c r="B83" s="6">
        <f t="shared" si="10"/>
        <v>469560.37454303051</v>
      </c>
      <c r="C83" s="6">
        <f t="shared" si="11"/>
        <v>678368.00474899902</v>
      </c>
      <c r="D83" s="6">
        <f t="shared" si="12"/>
        <v>-208807.63020596848</v>
      </c>
      <c r="E83" s="6">
        <f t="shared" si="13"/>
        <v>-20439342.472190812</v>
      </c>
    </row>
    <row r="84" spans="1:5" x14ac:dyDescent="0.25">
      <c r="A84" s="2">
        <v>73</v>
      </c>
      <c r="B84" s="6">
        <f t="shared" si="10"/>
        <v>469560.37454303051</v>
      </c>
      <c r="C84" s="6">
        <f t="shared" si="11"/>
        <v>685536.09333251347</v>
      </c>
      <c r="D84" s="6">
        <f t="shared" si="12"/>
        <v>-215975.71878948293</v>
      </c>
      <c r="E84" s="6">
        <f t="shared" si="13"/>
        <v>-21124878.565523326</v>
      </c>
    </row>
  </sheetData>
  <mergeCells count="3">
    <mergeCell ref="G1:H1"/>
    <mergeCell ref="A9:B9"/>
    <mergeCell ref="C9:D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Luffi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HOME</dc:creator>
  <cp:keywords/>
  <dc:description/>
  <cp:lastModifiedBy>Andrés Felipe Bernal Urrea</cp:lastModifiedBy>
  <cp:revision/>
  <dcterms:created xsi:type="dcterms:W3CDTF">2022-09-21T21:29:38Z</dcterms:created>
  <dcterms:modified xsi:type="dcterms:W3CDTF">2025-09-23T21:34:33Z</dcterms:modified>
  <cp:category/>
  <cp:contentStatus/>
</cp:coreProperties>
</file>