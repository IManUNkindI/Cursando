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Actuadores\"/>
    </mc:Choice>
  </mc:AlternateContent>
  <xr:revisionPtr revIDLastSave="0" documentId="13_ncr:1_{04E68CFF-EE51-4C59-8406-B57786A16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C10" i="1"/>
  <c r="H17" i="1" s="1"/>
  <c r="D14" i="1"/>
  <c r="E5" i="1" s="1"/>
  <c r="D15" i="1"/>
  <c r="E6" i="1" s="1"/>
  <c r="D16" i="1"/>
  <c r="E7" i="1" s="1"/>
  <c r="D17" i="1"/>
  <c r="E8" i="1" s="1"/>
  <c r="D18" i="1"/>
  <c r="E9" i="1" s="1"/>
  <c r="D13" i="1"/>
  <c r="E4" i="1" s="1"/>
  <c r="I4" i="1" l="1"/>
  <c r="I8" i="1"/>
  <c r="H8" i="1"/>
  <c r="I7" i="1"/>
  <c r="H7" i="1"/>
  <c r="H6" i="1"/>
  <c r="I6" i="1"/>
  <c r="I5" i="1"/>
  <c r="H5" i="1"/>
  <c r="G4" i="1"/>
  <c r="H19" i="1"/>
  <c r="H18" i="1" s="1"/>
  <c r="G9" i="1"/>
  <c r="H9" i="1" s="1"/>
  <c r="I9" i="1"/>
  <c r="I10" i="1"/>
  <c r="G10" i="1" l="1"/>
  <c r="H4" i="1"/>
  <c r="H10" i="1"/>
  <c r="H13" i="1" s="1"/>
  <c r="H14" i="1" s="1"/>
  <c r="I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2,5% se suman por el cambio de puntos base de 250 a 2,5%, de lo exigido por los accionistas
</t>
        </r>
      </text>
    </comment>
    <comment ref="H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patrimo se agrega 50% ma los pasivos.
</t>
        </r>
      </text>
    </comment>
  </commentList>
</comments>
</file>

<file path=xl/sharedStrings.xml><?xml version="1.0" encoding="utf-8"?>
<sst xmlns="http://schemas.openxmlformats.org/spreadsheetml/2006/main" count="48" uniqueCount="44">
  <si>
    <t>ABBILLAS</t>
  </si>
  <si>
    <t>CAGUAN</t>
  </si>
  <si>
    <t>ORIENTE</t>
  </si>
  <si>
    <t>QUEBRADO</t>
  </si>
  <si>
    <t>CHICAGO</t>
  </si>
  <si>
    <t>BONOS</t>
  </si>
  <si>
    <t>ENTIDAD</t>
  </si>
  <si>
    <t>MONTO</t>
  </si>
  <si>
    <t>TASA</t>
  </si>
  <si>
    <t>PLAZO</t>
  </si>
  <si>
    <t>VARIABLE</t>
  </si>
  <si>
    <t>FIJA</t>
  </si>
  <si>
    <t>LIBOR</t>
  </si>
  <si>
    <t>IPC</t>
  </si>
  <si>
    <t>DTF</t>
  </si>
  <si>
    <t>PR</t>
  </si>
  <si>
    <t>TIPO</t>
  </si>
  <si>
    <t>90 DIAS</t>
  </si>
  <si>
    <t>3 AÑOS</t>
  </si>
  <si>
    <t>1 AÑO</t>
  </si>
  <si>
    <t>15 AÑOS</t>
  </si>
  <si>
    <t>120 DIAS</t>
  </si>
  <si>
    <t>7 AÑOS</t>
  </si>
  <si>
    <t>PROMEDIO PONDERADO</t>
  </si>
  <si>
    <t>TOTAL</t>
  </si>
  <si>
    <t>COSTO PROMEDIO</t>
  </si>
  <si>
    <t>kd</t>
  </si>
  <si>
    <t>MONTO CON TASA</t>
  </si>
  <si>
    <t>Kd(Sin impuestos)</t>
  </si>
  <si>
    <t>PASIVO</t>
  </si>
  <si>
    <t>ACTIVO</t>
  </si>
  <si>
    <t>PATRIMONIO</t>
  </si>
  <si>
    <t>PROMEDIO PONDERADO DEL CAPITAL</t>
  </si>
  <si>
    <t>Conclusión</t>
  </si>
  <si>
    <t>Ke</t>
  </si>
  <si>
    <t>Ke(Sin impuestos)</t>
  </si>
  <si>
    <t>wacc</t>
  </si>
  <si>
    <t>tasa negociacion</t>
  </si>
  <si>
    <t>DTF + 9%</t>
  </si>
  <si>
    <t>PR + 3.5%</t>
  </si>
  <si>
    <t>LIBOR + 3,25%</t>
  </si>
  <si>
    <t>IPC +10%</t>
  </si>
  <si>
    <t>1*2</t>
  </si>
  <si>
    <t>el costo promedio ponderado de capital (WACC) de la empresa es del 19,42%, lo cual refleja el nivel mínimo de rentabilidad que deben alcanzar los proyectos para ser viables y generar valor.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</si>
</sst>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2" fillId="0" borderId="2" xfId="0" applyFont="1" applyBorder="1"/>
    <xf numFmtId="0" fontId="3" fillId="0" borderId="1" xfId="0" applyFont="1" applyBorder="1"/>
    <xf numFmtId="10" fontId="0" fillId="0" borderId="1" xfId="0" applyNumberFormat="1" applyBorder="1"/>
    <xf numFmtId="165" fontId="0" fillId="0" borderId="1" xfId="0" applyNumberFormat="1" applyBorder="1"/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0" fontId="0" fillId="0" borderId="2" xfId="1" applyNumberFormat="1" applyFont="1" applyBorder="1"/>
    <xf numFmtId="0" fontId="4" fillId="2" borderId="2" xfId="0" applyFont="1" applyFill="1" applyBorder="1" applyAlignment="1">
      <alignment horizontal="center" vertical="center"/>
    </xf>
    <xf numFmtId="10" fontId="0" fillId="0" borderId="2" xfId="0" applyNumberFormat="1" applyBorder="1"/>
    <xf numFmtId="0" fontId="2" fillId="3" borderId="2" xfId="0" applyFont="1" applyFill="1" applyBorder="1" applyAlignment="1">
      <alignment horizontal="center" vertical="center" wrapText="1"/>
    </xf>
    <xf numFmtId="44" fontId="0" fillId="0" borderId="2" xfId="0" applyNumberFormat="1" applyBorder="1"/>
    <xf numFmtId="0" fontId="2" fillId="4" borderId="2" xfId="0" applyFont="1" applyFill="1" applyBorder="1"/>
    <xf numFmtId="0" fontId="0" fillId="0" borderId="2" xfId="0" applyFill="1" applyBorder="1"/>
    <xf numFmtId="0" fontId="2" fillId="3" borderId="2" xfId="0" applyFont="1" applyFill="1" applyBorder="1" applyAlignment="1">
      <alignment horizontal="center" vertical="center"/>
    </xf>
    <xf numFmtId="0" fontId="2" fillId="5" borderId="0" xfId="0" applyFont="1" applyFill="1"/>
    <xf numFmtId="0" fontId="2" fillId="0" borderId="2" xfId="0" applyFont="1" applyFill="1" applyBorder="1"/>
    <xf numFmtId="0" fontId="2" fillId="4" borderId="2" xfId="0" applyFont="1" applyFill="1" applyBorder="1" applyAlignment="1">
      <alignment horizontal="center"/>
    </xf>
    <xf numFmtId="0" fontId="0" fillId="6" borderId="2" xfId="0" applyFill="1" applyBorder="1"/>
    <xf numFmtId="164" fontId="0" fillId="6" borderId="2" xfId="0" applyNumberFormat="1" applyFill="1" applyBorder="1"/>
    <xf numFmtId="0" fontId="3" fillId="6" borderId="1" xfId="0" applyFont="1" applyFill="1" applyBorder="1"/>
    <xf numFmtId="0" fontId="8" fillId="0" borderId="1" xfId="0" applyFont="1" applyBorder="1"/>
    <xf numFmtId="0" fontId="0" fillId="0" borderId="0" xfId="0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6" borderId="2" xfId="1" applyNumberFormat="1" applyFon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3"/>
  <sheetViews>
    <sheetView tabSelected="1" workbookViewId="0">
      <selection activeCell="Q23" sqref="Q23"/>
    </sheetView>
  </sheetViews>
  <sheetFormatPr baseColWidth="10" defaultRowHeight="15" x14ac:dyDescent="0.25"/>
  <cols>
    <col min="3" max="4" width="17.85546875" customWidth="1"/>
    <col min="7" max="7" width="16.28515625" customWidth="1"/>
    <col min="8" max="8" width="17.28515625" customWidth="1"/>
    <col min="9" max="9" width="15.140625" customWidth="1"/>
  </cols>
  <sheetData>
    <row r="2" spans="2:9" x14ac:dyDescent="0.25">
      <c r="E2" s="25">
        <v>1</v>
      </c>
      <c r="G2" s="25">
        <v>2</v>
      </c>
      <c r="H2" s="25" t="s">
        <v>42</v>
      </c>
    </row>
    <row r="3" spans="2:9" ht="36.6" customHeight="1" x14ac:dyDescent="0.25">
      <c r="B3" s="11" t="s">
        <v>6</v>
      </c>
      <c r="C3" s="11" t="s">
        <v>7</v>
      </c>
      <c r="D3" s="11" t="s">
        <v>37</v>
      </c>
      <c r="E3" s="17" t="s">
        <v>8</v>
      </c>
      <c r="F3" s="17" t="s">
        <v>9</v>
      </c>
      <c r="G3" s="13" t="s">
        <v>23</v>
      </c>
      <c r="H3" s="13" t="s">
        <v>25</v>
      </c>
      <c r="I3" s="13" t="s">
        <v>27</v>
      </c>
    </row>
    <row r="4" spans="2:9" x14ac:dyDescent="0.25">
      <c r="B4" s="2" t="s">
        <v>0</v>
      </c>
      <c r="C4" s="3">
        <v>225500</v>
      </c>
      <c r="D4" s="24" t="s">
        <v>40</v>
      </c>
      <c r="E4" s="26">
        <f>+D13</f>
        <v>0.125</v>
      </c>
      <c r="F4" s="29" t="s">
        <v>17</v>
      </c>
      <c r="G4" s="26">
        <f>+C4/$C$10</f>
        <v>1.8383551816343834E-2</v>
      </c>
      <c r="H4" s="30">
        <f>E4*G4</f>
        <v>2.2979439770429793E-3</v>
      </c>
      <c r="I4" s="14">
        <f>C4*E4</f>
        <v>28187.5</v>
      </c>
    </row>
    <row r="5" spans="2:9" x14ac:dyDescent="0.25">
      <c r="B5" s="2" t="s">
        <v>1</v>
      </c>
      <c r="C5" s="3">
        <v>340200</v>
      </c>
      <c r="D5" s="5" t="s">
        <v>41</v>
      </c>
      <c r="E5" s="26">
        <f t="shared" ref="E5:E9" si="0">+D14</f>
        <v>0.151</v>
      </c>
      <c r="F5" s="29" t="s">
        <v>18</v>
      </c>
      <c r="G5" s="26">
        <f t="shared" ref="G5:G9" si="1">+C5/$C$10</f>
        <v>2.7734298571708081E-2</v>
      </c>
      <c r="H5" s="30">
        <f t="shared" ref="H5:H9" si="2">E5*G5</f>
        <v>4.1878790843279199E-3</v>
      </c>
      <c r="I5" s="14">
        <f t="shared" ref="I5:I9" si="3">C5*E5</f>
        <v>51370.2</v>
      </c>
    </row>
    <row r="6" spans="2:9" x14ac:dyDescent="0.25">
      <c r="B6" s="2" t="s">
        <v>2</v>
      </c>
      <c r="C6" s="3">
        <v>1400000</v>
      </c>
      <c r="D6" s="5" t="s">
        <v>38</v>
      </c>
      <c r="E6" s="26">
        <f t="shared" si="0"/>
        <v>0.17749999999999999</v>
      </c>
      <c r="F6" s="29" t="s">
        <v>19</v>
      </c>
      <c r="G6" s="27">
        <f t="shared" si="1"/>
        <v>0.11413291593295506</v>
      </c>
      <c r="H6" s="30">
        <f t="shared" si="2"/>
        <v>2.0258592578099522E-2</v>
      </c>
      <c r="I6" s="14">
        <f t="shared" si="3"/>
        <v>248500</v>
      </c>
    </row>
    <row r="7" spans="2:9" x14ac:dyDescent="0.25">
      <c r="B7" s="21" t="s">
        <v>3</v>
      </c>
      <c r="C7" s="22">
        <v>820100</v>
      </c>
      <c r="D7" s="23" t="s">
        <v>11</v>
      </c>
      <c r="E7" s="27">
        <f t="shared" si="0"/>
        <v>0.28999999999999998</v>
      </c>
      <c r="F7" s="29" t="s">
        <v>20</v>
      </c>
      <c r="G7" s="26">
        <f t="shared" si="1"/>
        <v>6.6857431683297469E-2</v>
      </c>
      <c r="H7" s="30">
        <f t="shared" si="2"/>
        <v>1.9388655188156266E-2</v>
      </c>
      <c r="I7" s="14">
        <f t="shared" si="3"/>
        <v>237828.99999999997</v>
      </c>
    </row>
    <row r="8" spans="2:9" x14ac:dyDescent="0.25">
      <c r="B8" s="2" t="s">
        <v>4</v>
      </c>
      <c r="C8" s="3">
        <v>3240500</v>
      </c>
      <c r="D8" s="24" t="s">
        <v>39</v>
      </c>
      <c r="E8" s="26">
        <f t="shared" si="0"/>
        <v>0.1075</v>
      </c>
      <c r="F8" s="29" t="s">
        <v>21</v>
      </c>
      <c r="G8" s="27">
        <f t="shared" si="1"/>
        <v>0.26417693862910063</v>
      </c>
      <c r="H8" s="30">
        <f t="shared" si="2"/>
        <v>2.8399020902628316E-2</v>
      </c>
      <c r="I8" s="14">
        <f t="shared" si="3"/>
        <v>348353.75</v>
      </c>
    </row>
    <row r="9" spans="2:9" x14ac:dyDescent="0.25">
      <c r="B9" s="2" t="s">
        <v>5</v>
      </c>
      <c r="C9" s="3">
        <v>6240100</v>
      </c>
      <c r="D9" s="5" t="s">
        <v>38</v>
      </c>
      <c r="E9" s="26">
        <f t="shared" si="0"/>
        <v>0.17749999999999999</v>
      </c>
      <c r="F9" s="29" t="s">
        <v>22</v>
      </c>
      <c r="G9" s="27">
        <f t="shared" si="1"/>
        <v>0.50871486336659488</v>
      </c>
      <c r="H9" s="30">
        <f t="shared" si="2"/>
        <v>9.0296888247570581E-2</v>
      </c>
      <c r="I9" s="14">
        <f t="shared" si="3"/>
        <v>1107617.75</v>
      </c>
    </row>
    <row r="10" spans="2:9" x14ac:dyDescent="0.25">
      <c r="B10" s="16" t="s">
        <v>24</v>
      </c>
      <c r="C10" s="3">
        <f>+SUM(C4:C9)</f>
        <v>12266400</v>
      </c>
      <c r="D10" s="3"/>
      <c r="E10" s="10"/>
      <c r="F10" s="2"/>
      <c r="G10" s="28">
        <f>+SUM(G4:G9)</f>
        <v>1</v>
      </c>
      <c r="H10" s="30">
        <f>SUM(H4:H9)</f>
        <v>0.16482897997782558</v>
      </c>
      <c r="I10" s="14">
        <f>SUM(I4:I9)</f>
        <v>2021858.2</v>
      </c>
    </row>
    <row r="12" spans="2:9" x14ac:dyDescent="0.25">
      <c r="B12" s="8" t="s">
        <v>16</v>
      </c>
      <c r="C12" s="9" t="s">
        <v>10</v>
      </c>
      <c r="D12" s="9"/>
      <c r="E12" s="9" t="s">
        <v>11</v>
      </c>
    </row>
    <row r="13" spans="2:9" x14ac:dyDescent="0.25">
      <c r="B13" s="5" t="s">
        <v>12</v>
      </c>
      <c r="C13" s="6">
        <v>9.2499999999999999E-2</v>
      </c>
      <c r="D13" s="6">
        <f>+C13+E13</f>
        <v>0.125</v>
      </c>
      <c r="E13" s="7">
        <v>3.2500000000000001E-2</v>
      </c>
      <c r="G13" s="4" t="s">
        <v>26</v>
      </c>
      <c r="H13" s="10">
        <f>+H10</f>
        <v>0.16482897997782558</v>
      </c>
    </row>
    <row r="14" spans="2:9" x14ac:dyDescent="0.25">
      <c r="B14" s="5" t="s">
        <v>13</v>
      </c>
      <c r="C14" s="6">
        <v>5.0999999999999997E-2</v>
      </c>
      <c r="D14" s="6">
        <f t="shared" ref="D14:D18" si="4">+C14+E14</f>
        <v>0.151</v>
      </c>
      <c r="E14" s="7">
        <v>0.1</v>
      </c>
      <c r="G14" s="4" t="s">
        <v>28</v>
      </c>
      <c r="H14" s="12">
        <f>+(H13*(1-0.33))</f>
        <v>0.11043541658514314</v>
      </c>
    </row>
    <row r="15" spans="2:9" x14ac:dyDescent="0.25">
      <c r="B15" s="5" t="s">
        <v>14</v>
      </c>
      <c r="C15" s="6">
        <v>8.7499999999999994E-2</v>
      </c>
      <c r="D15" s="6">
        <f t="shared" si="4"/>
        <v>0.17749999999999999</v>
      </c>
      <c r="E15" s="7">
        <v>0.09</v>
      </c>
      <c r="G15" s="4" t="s">
        <v>34</v>
      </c>
      <c r="H15" s="12">
        <v>0.25</v>
      </c>
    </row>
    <row r="16" spans="2:9" x14ac:dyDescent="0.25">
      <c r="B16" s="5" t="s">
        <v>11</v>
      </c>
      <c r="C16" s="1"/>
      <c r="D16" s="6">
        <f t="shared" si="4"/>
        <v>0.28999999999999998</v>
      </c>
      <c r="E16" s="7">
        <v>0.28999999999999998</v>
      </c>
      <c r="G16" s="19" t="s">
        <v>35</v>
      </c>
      <c r="H16" s="12"/>
    </row>
    <row r="17" spans="2:17" x14ac:dyDescent="0.25">
      <c r="B17" s="5" t="s">
        <v>15</v>
      </c>
      <c r="C17" s="6">
        <v>7.2499999999999995E-2</v>
      </c>
      <c r="D17" s="6">
        <f t="shared" si="4"/>
        <v>0.1075</v>
      </c>
      <c r="E17" s="6">
        <v>3.5000000000000003E-2</v>
      </c>
      <c r="G17" s="15" t="s">
        <v>29</v>
      </c>
      <c r="H17" s="3">
        <f>C10</f>
        <v>12266400</v>
      </c>
    </row>
    <row r="18" spans="2:17" x14ac:dyDescent="0.25">
      <c r="B18" s="5" t="s">
        <v>14</v>
      </c>
      <c r="C18" s="6">
        <v>8.7499999999999994E-2</v>
      </c>
      <c r="D18" s="6">
        <f t="shared" si="4"/>
        <v>0.17749999999999999</v>
      </c>
      <c r="E18" s="7">
        <v>0.09</v>
      </c>
      <c r="G18" s="15" t="s">
        <v>30</v>
      </c>
      <c r="H18" s="14">
        <f>H19+H17</f>
        <v>30666000</v>
      </c>
    </row>
    <row r="19" spans="2:17" x14ac:dyDescent="0.25">
      <c r="G19" s="15" t="s">
        <v>31</v>
      </c>
      <c r="H19" s="14">
        <f>C10*1.5</f>
        <v>18399600</v>
      </c>
    </row>
    <row r="21" spans="2:17" x14ac:dyDescent="0.25">
      <c r="F21" s="15" t="s">
        <v>36</v>
      </c>
      <c r="G21" s="20" t="s">
        <v>32</v>
      </c>
      <c r="H21" s="20"/>
      <c r="I21" s="10">
        <f>(((H17*H14)+(H19*H15))/H18)</f>
        <v>0.19417416663405726</v>
      </c>
    </row>
    <row r="23" spans="2:17" x14ac:dyDescent="0.25">
      <c r="B23" s="18" t="s">
        <v>33</v>
      </c>
      <c r="C23" s="31" t="s">
        <v>43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  <c r="Q23" s="33"/>
    </row>
  </sheetData>
  <mergeCells count="2">
    <mergeCell ref="G21:H21"/>
    <mergeCell ref="C23:O2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 Franco Baquero</cp:lastModifiedBy>
  <dcterms:created xsi:type="dcterms:W3CDTF">2022-02-14T15:24:31Z</dcterms:created>
  <dcterms:modified xsi:type="dcterms:W3CDTF">2025-09-30T21:54:52Z</dcterms:modified>
</cp:coreProperties>
</file>